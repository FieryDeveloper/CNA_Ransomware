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equency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Size bands" sheetId="4" state="visible" r:id="rId4"/>
    <sheet xmlns:r="http://schemas.openxmlformats.org/officeDocument/2006/relationships" name="By year" sheetId="5" state="visible" r:id="rId5"/>
    <sheet xmlns:r="http://schemas.openxmlformats.org/officeDocument/2006/relationships" name="Repeat victims" sheetId="6" state="visible" r:id="rId6"/>
    <sheet xmlns:r="http://schemas.openxmlformats.org/officeDocument/2006/relationships" name="Under-reporting" sheetId="7" state="visible" r:id="rId7"/>
    <sheet xmlns:r="http://schemas.openxmlformats.org/officeDocument/2006/relationships" name="DBIR benchmark" sheetId="8" state="visible" r:id="rId8"/>
    <sheet xmlns:r="http://schemas.openxmlformats.org/officeDocument/2006/relationships" name="Severity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.0%"/>
    <numFmt numFmtId="167" formatCode="+0.0;-0.0"/>
  </numFmts>
  <fonts count="6">
    <font>
      <name val="Calibri"/>
      <family val="2"/>
      <color theme="1"/>
      <sz val="11"/>
      <scheme val="minor"/>
    </font>
    <font>
      <name val="Arial"/>
      <b val="1"/>
      <color rgb="0013294B"/>
      <sz val="13"/>
    </font>
    <font>
      <name val="Arial"/>
      <i val="1"/>
      <color rgb="006C737A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3" fontId="3" fillId="3" borderId="1" pivotButton="0" quotePrefix="0" xfId="0"/>
    <xf numFmtId="2" fontId="3" fillId="3" borderId="1" pivotButton="0" quotePrefix="0" xfId="0"/>
    <xf numFmtId="164" fontId="3" fillId="3" borderId="1" pivotButton="0" quotePrefix="0" xfId="0"/>
    <xf numFmtId="165" fontId="4" fillId="0" borderId="1" pivotButton="0" quotePrefix="0" xfId="0"/>
    <xf numFmtId="10" fontId="4" fillId="0" borderId="1" pivotButton="0" quotePrefix="0" xfId="0"/>
    <xf numFmtId="3" fontId="0" fillId="3" borderId="1" pivotButton="0" quotePrefix="0" xfId="0"/>
    <xf numFmtId="0" fontId="0" fillId="3" borderId="1" pivotButton="0" quotePrefix="0" xfId="0"/>
    <xf numFmtId="1" fontId="4" fillId="0" borderId="1" pivotButton="0" quotePrefix="0" xfId="0"/>
    <xf numFmtId="166" fontId="4" fillId="0" borderId="1" pivotButton="0" quotePrefix="0" xfId="0"/>
    <xf numFmtId="3" fontId="3" fillId="0" borderId="1" pivotButton="0" quotePrefix="0" xfId="0"/>
    <xf numFmtId="166" fontId="3" fillId="0" borderId="1" pivotButton="0" quotePrefix="0" xfId="0"/>
    <xf numFmtId="0" fontId="3" fillId="0" borderId="1" pivotButton="0" quotePrefix="0" xfId="0"/>
    <xf numFmtId="167" fontId="4" fillId="0" borderId="1" pivotButton="0" quotePrefix="0" xfId="0"/>
    <xf numFmtId="0" fontId="5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CNA Ransomware Risk Dataset - Statistics Workbook</t>
        </is>
      </c>
    </row>
    <row r="2">
      <c r="A2" s="2" t="inlineStr">
        <is>
          <t>Generated 2026-10-08 by scripts/export_excel.py. Regenerable; do not hand-edit values - fix the data and re-run.</t>
        </is>
      </c>
    </row>
    <row r="4">
      <c r="A4" s="3" t="inlineStr">
        <is>
          <t>Sheet</t>
        </is>
      </c>
      <c r="B4" s="3" t="inlineStr">
        <is>
          <t>Contents</t>
        </is>
      </c>
    </row>
    <row r="5">
      <c r="A5" s="4" t="inlineStr">
        <is>
          <t>Frequency</t>
        </is>
      </c>
      <c r="B5" s="4" t="inlineStr">
        <is>
          <t>Attack rate per 10,000 US firms by industry, 2025, with relative risk. Rates and RR are live formulas over the counts.</t>
        </is>
      </c>
    </row>
    <row r="6">
      <c r="A6" s="4" t="inlineStr">
        <is>
          <t>Revenue</t>
        </is>
      </c>
      <c r="B6" s="4" t="inlineStr">
        <is>
          <t>The same victims per $100B of industry receipts (SUSB RCPT). Formulas.</t>
        </is>
      </c>
    </row>
    <row r="7">
      <c r="A7" s="4" t="inlineStr">
        <is>
          <t>Size bands</t>
        </is>
      </c>
      <c r="B7" s="4" t="inlineStr">
        <is>
          <t>Firm and victim shares by employee band; relative rate as formulas.</t>
        </is>
      </c>
    </row>
    <row r="8">
      <c r="A8" s="4" t="inlineStr">
        <is>
          <t>By year</t>
        </is>
      </c>
      <c r="B8" s="4" t="inlineStr">
        <is>
          <t>Distinct victim organisations per year with country coverage.</t>
        </is>
      </c>
    </row>
    <row r="9">
      <c r="A9" s="4" t="inlineStr">
        <is>
          <t>Repeat victims</t>
        </is>
      </c>
      <c r="B9" s="4" t="inlineStr">
        <is>
          <t>How often the same organisation is listed again.</t>
        </is>
      </c>
    </row>
    <row r="10">
      <c r="A10" s="4" t="inlineStr">
        <is>
          <t>Under-reporting</t>
        </is>
      </c>
      <c r="B10" s="4" t="inlineStr">
        <is>
          <t>Capture-recapture inputs with Chapman estimator AS FORMULAS, the dependence sweep, and the HHS cross-check.</t>
        </is>
      </c>
    </row>
    <row r="11">
      <c r="A11" s="4" t="inlineStr">
        <is>
          <t>DBIR benchmark</t>
        </is>
      </c>
      <c r="B11" s="4" t="inlineStr">
        <is>
          <t>Industry-mix comparison vs Verizon DBIR 2026 Table 3 (p.77), size and volume benchmarks.</t>
        </is>
      </c>
    </row>
    <row r="12">
      <c r="A12" s="4" t="inlineStr">
        <is>
          <t>Severity</t>
        </is>
      </c>
      <c r="B12" s="4" t="inlineStr">
        <is>
          <t>Distribution statistics for records affected, ransom amounts, financial impact. Computed from the collections; sources cited.</t>
        </is>
      </c>
    </row>
    <row r="13">
      <c r="A13" s="4" t="inlineStr">
        <is>
          <t>Reconciliation</t>
        </is>
      </c>
      <c r="B13" s="4" t="inlineStr">
        <is>
          <t>Every total re-added from its parts, so sums are checkable by eye.</t>
        </is>
      </c>
    </row>
    <row r="15">
      <c r="A15" s="2" t="inlineStr">
        <is>
          <t>Sources: ransomware.live (leak-site victims) - Census SUSB 2022 (firms, receipts) - Census of Governments 2022 - NCES/IPEDS - Comparitech trackers - HHS OCR breach portal - Ransomwhere - Verizon DBIR 2026 (benchmark only).</t>
        </is>
      </c>
    </row>
    <row r="16">
      <c r="A16" s="2" t="inlineStr">
        <is>
          <t>Every number's basis is recorded in the underlying dataset as measured / estimated / assumed / derived; see the method document in the frequency collection.</t>
        </is>
      </c>
    </row>
    <row r="17">
      <c r="A17" s="2" t="inlineStr">
        <is>
          <t>Rates measure how often a firm is LISTED on a leak site, not how often one is attacked. Central rates apply a 7.4x under-reporting multiplier, derived, not assumed.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  <col width="10" customWidth="1" min="5" max="5"/>
    <col width="9" customWidth="1" min="6" max="6"/>
    <col width="12" customWidth="1" min="7" max="7"/>
    <col width="10" customWidth="1" min="8" max="8"/>
    <col width="10" customWidth="1" min="9" max="9"/>
    <col width="7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Attack rate by industry - US, 2025</t>
        </is>
      </c>
    </row>
    <row r="2">
      <c r="A2" s="2" t="inlineStr">
        <is>
          <t>Counts are inputs from the dataset; every rate, RR and total is a formula. obs/10k uses confirmed-US victims only; central adds country + under-reporting corrections.</t>
        </is>
      </c>
    </row>
    <row r="4">
      <c r="A4" s="5" t="inlineStr">
        <is>
          <t>Industry</t>
        </is>
      </c>
      <c r="B4" s="5" t="inlineStr">
        <is>
          <t>Victims (obs)</t>
        </is>
      </c>
      <c r="C4" s="5" t="inlineStr">
        <is>
          <t>Victims (adj x R)</t>
        </is>
      </c>
      <c r="D4" s="5" t="inlineStr">
        <is>
          <t>Firms</t>
        </is>
      </c>
      <c r="E4" s="5" t="inlineStr">
        <is>
          <t>obs /10k</t>
        </is>
      </c>
      <c r="F4" s="5" t="inlineStr">
        <is>
          <t>RR (obs)</t>
        </is>
      </c>
      <c r="G4" s="5" t="inlineStr">
        <is>
          <t>central /10k</t>
        </is>
      </c>
      <c r="H4" s="5" t="inlineStr">
        <is>
          <t>low /10k</t>
        </is>
      </c>
      <c r="I4" s="5" t="inlineStr">
        <is>
          <t>high /10k</t>
        </is>
      </c>
      <c r="J4" s="5" t="inlineStr">
        <is>
          <t>R</t>
        </is>
      </c>
      <c r="K4" s="5" t="inlineStr">
        <is>
          <t>R basis</t>
        </is>
      </c>
      <c r="L4" s="5" t="inlineStr">
        <is>
          <t>Crosswalk</t>
        </is>
      </c>
      <c r="M4" s="5" t="inlineStr">
        <is>
          <t>Denominator unit</t>
        </is>
      </c>
    </row>
    <row r="5">
      <c r="A5" s="6" t="inlineStr">
        <is>
          <t>Telecommunication</t>
        </is>
      </c>
      <c r="B5" s="7" t="n">
        <v>44</v>
      </c>
      <c r="C5" s="7" t="n">
        <v>331.6</v>
      </c>
      <c r="D5" s="7" t="n">
        <v>12086</v>
      </c>
      <c r="E5" s="8">
        <f>ROUND(B5/D5*10000,2)</f>
        <v/>
      </c>
      <c r="F5" s="8">
        <f>ROUND(E5/E$19,2)</f>
        <v/>
      </c>
      <c r="G5" s="9">
        <f>ROUND(C5/D5*10000,1)</f>
        <v/>
      </c>
      <c r="H5" s="9" t="n">
        <v>215.05</v>
      </c>
      <c r="I5" s="9" t="n">
        <v>393.03</v>
      </c>
      <c r="J5" s="9" t="n">
        <v>7.4</v>
      </c>
      <c r="K5" s="6" t="inlineStr">
        <is>
          <t>assumed</t>
        </is>
      </c>
      <c r="L5" s="6" t="inlineStr">
        <is>
          <t>medium</t>
        </is>
      </c>
      <c r="M5" s="6" t="inlineStr">
        <is>
          <t>firms</t>
        </is>
      </c>
    </row>
    <row r="6">
      <c r="A6" s="6" t="inlineStr">
        <is>
          <t>Energy</t>
        </is>
      </c>
      <c r="B6" s="7" t="n">
        <v>71</v>
      </c>
      <c r="C6" s="7" t="n">
        <v>535.7</v>
      </c>
      <c r="D6" s="7" t="n">
        <v>24113</v>
      </c>
      <c r="E6" s="8">
        <f>ROUND(B6/D6*10000,2)</f>
        <v/>
      </c>
      <c r="F6" s="8">
        <f>ROUND(E6/E$19,2)</f>
        <v/>
      </c>
      <c r="G6" s="9">
        <f>ROUND(C6/D6*10000,1)</f>
        <v/>
      </c>
      <c r="H6" s="9" t="n">
        <v>174.14</v>
      </c>
      <c r="I6" s="9" t="n">
        <v>318.25</v>
      </c>
      <c r="J6" s="9" t="n">
        <v>7.4</v>
      </c>
      <c r="K6" s="6" t="inlineStr">
        <is>
          <t>assumed</t>
        </is>
      </c>
      <c r="L6" s="6" t="inlineStr">
        <is>
          <t>medium</t>
        </is>
      </c>
      <c r="M6" s="6" t="inlineStr">
        <is>
          <t>firms</t>
        </is>
      </c>
    </row>
    <row r="7">
      <c r="A7" s="6" t="inlineStr">
        <is>
          <t>Manufacturing</t>
        </is>
      </c>
      <c r="B7" s="7" t="n">
        <v>581</v>
      </c>
      <c r="C7" s="7" t="n">
        <v>4369.7</v>
      </c>
      <c r="D7" s="7" t="n">
        <v>202208</v>
      </c>
      <c r="E7" s="8">
        <f>ROUND(B7/D7*10000,2)</f>
        <v/>
      </c>
      <c r="F7" s="8">
        <f>ROUND(E7/E$19,2)</f>
        <v/>
      </c>
      <c r="G7" s="9">
        <f>ROUND(C7/D7*10000,1)</f>
        <v/>
      </c>
      <c r="H7" s="9" t="n">
        <v>169.38</v>
      </c>
      <c r="I7" s="9" t="n">
        <v>309.55</v>
      </c>
      <c r="J7" s="9" t="n">
        <v>7.4</v>
      </c>
      <c r="K7" s="6" t="inlineStr">
        <is>
          <t>assumed</t>
        </is>
      </c>
      <c r="L7" s="6" t="inlineStr">
        <is>
          <t>high</t>
        </is>
      </c>
      <c r="M7" s="6" t="inlineStr">
        <is>
          <t>firms</t>
        </is>
      </c>
    </row>
    <row r="8">
      <c r="A8" s="6" t="inlineStr">
        <is>
          <t>Technology</t>
        </is>
      </c>
      <c r="B8" s="7" t="n">
        <v>419</v>
      </c>
      <c r="C8" s="7" t="n">
        <v>3265.3</v>
      </c>
      <c r="D8" s="7" t="n">
        <v>163176</v>
      </c>
      <c r="E8" s="8">
        <f>ROUND(B8/D8*10000,2)</f>
        <v/>
      </c>
      <c r="F8" s="8">
        <f>ROUND(E8/E$19,2)</f>
        <v/>
      </c>
      <c r="G8" s="9">
        <f>ROUND(C8/D8*10000,1)</f>
        <v/>
      </c>
      <c r="H8" s="9" t="n">
        <v>156.84</v>
      </c>
      <c r="I8" s="9" t="n">
        <v>286.64</v>
      </c>
      <c r="J8" s="9" t="n">
        <v>7.4</v>
      </c>
      <c r="K8" s="6" t="inlineStr">
        <is>
          <t>assumed</t>
        </is>
      </c>
      <c r="L8" s="6" t="inlineStr">
        <is>
          <t>medium</t>
        </is>
      </c>
      <c r="M8" s="6" t="inlineStr">
        <is>
          <t>firms</t>
        </is>
      </c>
    </row>
    <row r="9">
      <c r="A9" s="6" t="inlineStr">
        <is>
          <t>Agriculture and Food Production</t>
        </is>
      </c>
      <c r="B9" s="7" t="n">
        <v>110</v>
      </c>
      <c r="C9" s="7" t="n">
        <v>831.5</v>
      </c>
      <c r="D9" s="7" t="n">
        <v>59656</v>
      </c>
      <c r="E9" s="8">
        <f>ROUND(B9/D9*10000,2)</f>
        <v/>
      </c>
      <c r="F9" s="8">
        <f>ROUND(E9/E$19,2)</f>
        <v/>
      </c>
      <c r="G9" s="9">
        <f>ROUND(C9/D9*10000,1)</f>
        <v/>
      </c>
      <c r="H9" s="9" t="n">
        <v>109.25</v>
      </c>
      <c r="I9" s="9" t="n">
        <v>199.66</v>
      </c>
      <c r="J9" s="9" t="n">
        <v>7.4</v>
      </c>
      <c r="K9" s="6" t="inlineStr">
        <is>
          <t>assumed</t>
        </is>
      </c>
      <c r="L9" s="6" t="inlineStr">
        <is>
          <t>low</t>
        </is>
      </c>
      <c r="M9" s="6" t="inlineStr">
        <is>
          <t>firms</t>
        </is>
      </c>
    </row>
    <row r="10">
      <c r="A10" s="6" t="inlineStr">
        <is>
          <t>Public Sector</t>
        </is>
      </c>
      <c r="B10" s="7" t="n">
        <v>140</v>
      </c>
      <c r="C10" s="7" t="n">
        <v>1197.9</v>
      </c>
      <c r="D10" s="7" t="n">
        <v>90887</v>
      </c>
      <c r="E10" s="8">
        <f>ROUND(B10/D10*10000,2)</f>
        <v/>
      </c>
      <c r="F10" s="8">
        <f>ROUND(E10/E$19,2)</f>
        <v/>
      </c>
      <c r="G10" s="9">
        <f>ROUND(C10/D10*10000,1)</f>
        <v/>
      </c>
      <c r="H10" s="9" t="n">
        <v>92.77</v>
      </c>
      <c r="I10" s="9" t="n">
        <v>169.55</v>
      </c>
      <c r="J10" s="9" t="n">
        <v>8.24</v>
      </c>
      <c r="K10" s="6" t="inlineStr">
        <is>
          <t>estimated</t>
        </is>
      </c>
      <c r="L10" s="6" t="inlineStr">
        <is>
          <t>low</t>
        </is>
      </c>
      <c r="M10" s="6" t="inlineStr">
        <is>
          <t>governments</t>
        </is>
      </c>
    </row>
    <row r="11">
      <c r="A11" s="6" t="inlineStr">
        <is>
          <t>Education</t>
        </is>
      </c>
      <c r="B11" s="7" t="n">
        <v>174</v>
      </c>
      <c r="C11" s="7" t="n">
        <v>1471.2</v>
      </c>
      <c r="D11" s="7" t="n">
        <v>118205</v>
      </c>
      <c r="E11" s="8">
        <f>ROUND(B11/D11*10000,2)</f>
        <v/>
      </c>
      <c r="F11" s="8">
        <f>ROUND(E11/E$19,2)</f>
        <v/>
      </c>
      <c r="G11" s="9">
        <f>ROUND(C11/D11*10000,1)</f>
        <v/>
      </c>
      <c r="H11" s="9" t="n">
        <v>88.68000000000001</v>
      </c>
      <c r="I11" s="9" t="n">
        <v>162.07</v>
      </c>
      <c r="J11" s="9" t="n">
        <v>8.140000000000001</v>
      </c>
      <c r="K11" s="6" t="inlineStr">
        <is>
          <t>estimated</t>
        </is>
      </c>
      <c r="L11" s="6" t="inlineStr">
        <is>
          <t>medium</t>
        </is>
      </c>
      <c r="M11" s="6" t="inlineStr">
        <is>
          <t>firms+institutions</t>
        </is>
      </c>
    </row>
    <row r="12">
      <c r="A12" s="6" t="inlineStr">
        <is>
          <t>Financial Services</t>
        </is>
      </c>
      <c r="B12" s="7" t="n">
        <v>228</v>
      </c>
      <c r="C12" s="7" t="n">
        <v>1729.3</v>
      </c>
      <c r="D12" s="7" t="n">
        <v>244536</v>
      </c>
      <c r="E12" s="8">
        <f>ROUND(B12/D12*10000,2)</f>
        <v/>
      </c>
      <c r="F12" s="8">
        <f>ROUND(E12/E$19,2)</f>
        <v/>
      </c>
      <c r="G12" s="9">
        <f>ROUND(C12/D12*10000,1)</f>
        <v/>
      </c>
      <c r="H12" s="9" t="n">
        <v>55.43</v>
      </c>
      <c r="I12" s="9" t="n">
        <v>101.3</v>
      </c>
      <c r="J12" s="9" t="n">
        <v>7.4</v>
      </c>
      <c r="K12" s="6" t="inlineStr">
        <is>
          <t>assumed</t>
        </is>
      </c>
      <c r="L12" s="6" t="inlineStr">
        <is>
          <t>high</t>
        </is>
      </c>
      <c r="M12" s="6" t="inlineStr">
        <is>
          <t>firms</t>
        </is>
      </c>
    </row>
    <row r="13">
      <c r="A13" s="6" t="inlineStr">
        <is>
          <t>Transportation/Logistics</t>
        </is>
      </c>
      <c r="B13" s="7" t="n">
        <v>126</v>
      </c>
      <c r="C13" s="7" t="n">
        <v>989.5</v>
      </c>
      <c r="D13" s="7" t="n">
        <v>237527</v>
      </c>
      <c r="E13" s="8">
        <f>ROUND(B13/D13*10000,2)</f>
        <v/>
      </c>
      <c r="F13" s="8">
        <f>ROUND(E13/E$19,2)</f>
        <v/>
      </c>
      <c r="G13" s="9">
        <f>ROUND(C13/D13*10000,1)</f>
        <v/>
      </c>
      <c r="H13" s="9" t="n">
        <v>32.65</v>
      </c>
      <c r="I13" s="9" t="n">
        <v>59.68</v>
      </c>
      <c r="J13" s="9" t="n">
        <v>7.4</v>
      </c>
      <c r="K13" s="6" t="inlineStr">
        <is>
          <t>assumed</t>
        </is>
      </c>
      <c r="L13" s="6" t="inlineStr">
        <is>
          <t>high</t>
        </is>
      </c>
      <c r="M13" s="6" t="inlineStr">
        <is>
          <t>firms</t>
        </is>
      </c>
    </row>
    <row r="14">
      <c r="A14" s="6" t="inlineStr">
        <is>
          <t>Healthcare</t>
        </is>
      </c>
      <c r="B14" s="7" t="n">
        <v>365</v>
      </c>
      <c r="C14" s="7" t="n">
        <v>2220</v>
      </c>
      <c r="D14" s="7" t="n">
        <v>693801</v>
      </c>
      <c r="E14" s="8">
        <f>ROUND(B14/D14*10000,2)</f>
        <v/>
      </c>
      <c r="F14" s="8">
        <f>ROUND(E14/E$19,2)</f>
        <v/>
      </c>
      <c r="G14" s="9">
        <f>ROUND(C14/D14*10000,1)</f>
        <v/>
      </c>
      <c r="H14" s="9" t="n">
        <v>31.51</v>
      </c>
      <c r="I14" s="9" t="n">
        <v>57.59</v>
      </c>
      <c r="J14" s="9" t="n">
        <v>5.89</v>
      </c>
      <c r="K14" s="6" t="inlineStr">
        <is>
          <t>estimated</t>
        </is>
      </c>
      <c r="L14" s="6" t="inlineStr">
        <is>
          <t>high</t>
        </is>
      </c>
      <c r="M14" s="6" t="inlineStr">
        <is>
          <t>firms</t>
        </is>
      </c>
    </row>
    <row r="15">
      <c r="A15" s="6" t="inlineStr">
        <is>
          <t>Construction</t>
        </is>
      </c>
      <c r="B15" s="7" t="n">
        <v>295</v>
      </c>
      <c r="C15" s="7" t="n">
        <v>2267.5</v>
      </c>
      <c r="D15" s="7" t="n">
        <v>782487</v>
      </c>
      <c r="E15" s="8">
        <f>ROUND(B15/D15*10000,2)</f>
        <v/>
      </c>
      <c r="F15" s="8">
        <f>ROUND(E15/E$19,2)</f>
        <v/>
      </c>
      <c r="G15" s="9">
        <f>ROUND(C15/D15*10000,1)</f>
        <v/>
      </c>
      <c r="H15" s="9" t="n">
        <v>22.71</v>
      </c>
      <c r="I15" s="9" t="n">
        <v>41.51</v>
      </c>
      <c r="J15" s="9" t="n">
        <v>7.4</v>
      </c>
      <c r="K15" s="6" t="inlineStr">
        <is>
          <t>assumed</t>
        </is>
      </c>
      <c r="L15" s="6" t="inlineStr">
        <is>
          <t>high</t>
        </is>
      </c>
      <c r="M15" s="6" t="inlineStr">
        <is>
          <t>firms</t>
        </is>
      </c>
    </row>
    <row r="16">
      <c r="A16" s="6" t="inlineStr">
        <is>
          <t>Business Services</t>
        </is>
      </c>
      <c r="B16" s="7" t="n">
        <v>523</v>
      </c>
      <c r="C16" s="7" t="n">
        <v>4024.1</v>
      </c>
      <c r="D16" s="7" t="n">
        <v>1791252</v>
      </c>
      <c r="E16" s="8">
        <f>ROUND(B16/D16*10000,2)</f>
        <v/>
      </c>
      <c r="F16" s="8">
        <f>ROUND(E16/E$19,2)</f>
        <v/>
      </c>
      <c r="G16" s="9">
        <f>ROUND(C16/D16*10000,1)</f>
        <v/>
      </c>
      <c r="H16" s="9" t="n">
        <v>17.61</v>
      </c>
      <c r="I16" s="9" t="n">
        <v>32.18</v>
      </c>
      <c r="J16" s="9" t="n">
        <v>7.4</v>
      </c>
      <c r="K16" s="6" t="inlineStr">
        <is>
          <t>assumed</t>
        </is>
      </c>
      <c r="L16" s="6" t="inlineStr">
        <is>
          <t>low</t>
        </is>
      </c>
      <c r="M16" s="6" t="inlineStr">
        <is>
          <t>firms</t>
        </is>
      </c>
    </row>
    <row r="17">
      <c r="A17" s="6" t="inlineStr">
        <is>
          <t>Consumer Services</t>
        </is>
      </c>
      <c r="B17" s="7" t="n">
        <v>293</v>
      </c>
      <c r="C17" s="7" t="n">
        <v>2259.6</v>
      </c>
      <c r="D17" s="7" t="n">
        <v>1374640</v>
      </c>
      <c r="E17" s="8">
        <f>ROUND(B17/D17*10000,2)</f>
        <v/>
      </c>
      <c r="F17" s="8">
        <f>ROUND(E17/E$19,2)</f>
        <v/>
      </c>
      <c r="G17" s="9">
        <f>ROUND(C17/D17*10000,1)</f>
        <v/>
      </c>
      <c r="H17" s="9" t="n">
        <v>12.88</v>
      </c>
      <c r="I17" s="9" t="n">
        <v>23.55</v>
      </c>
      <c r="J17" s="9" t="n">
        <v>7.4</v>
      </c>
      <c r="K17" s="6" t="inlineStr">
        <is>
          <t>assumed</t>
        </is>
      </c>
      <c r="L17" s="6" t="inlineStr">
        <is>
          <t>low</t>
        </is>
      </c>
      <c r="M17" s="6" t="inlineStr">
        <is>
          <t>firms</t>
        </is>
      </c>
    </row>
    <row r="18">
      <c r="A18" s="6" t="inlineStr">
        <is>
          <t>Hospitality and Tourism</t>
        </is>
      </c>
      <c r="B18" s="7" t="n">
        <v>90</v>
      </c>
      <c r="C18" s="7" t="n">
        <v>698.6</v>
      </c>
      <c r="D18" s="7" t="n">
        <v>723013</v>
      </c>
      <c r="E18" s="8">
        <f>ROUND(B18/D18*10000,2)</f>
        <v/>
      </c>
      <c r="F18" s="8">
        <f>ROUND(E18/E$19,2)</f>
        <v/>
      </c>
      <c r="G18" s="9">
        <f>ROUND(C18/D18*10000,1)</f>
        <v/>
      </c>
      <c r="H18" s="9" t="n">
        <v>7.57</v>
      </c>
      <c r="I18" s="9" t="n">
        <v>13.84</v>
      </c>
      <c r="J18" s="9" t="n">
        <v>7.4</v>
      </c>
      <c r="K18" s="6" t="inlineStr">
        <is>
          <t>assumed</t>
        </is>
      </c>
      <c r="L18" s="6" t="inlineStr">
        <is>
          <t>medium</t>
        </is>
      </c>
      <c r="M18" s="6" t="inlineStr">
        <is>
          <t>firms</t>
        </is>
      </c>
    </row>
    <row r="19">
      <c r="A19" s="10" t="inlineStr">
        <is>
          <t>ALL INDUSTRIES</t>
        </is>
      </c>
      <c r="B19" s="11">
        <f>SUM(B5:B18)</f>
        <v/>
      </c>
      <c r="C19" s="11">
        <f>SUM(C5:C18)</f>
        <v/>
      </c>
      <c r="D19" s="11">
        <f>SUM(D5:D18)</f>
        <v/>
      </c>
      <c r="E19" s="12">
        <f>ROUND(B19/D19*10000,2)</f>
        <v/>
      </c>
      <c r="F19" s="12" t="n">
        <v>1</v>
      </c>
      <c r="G19" s="13">
        <f>ROUND(C19/D19*10000,1)</f>
        <v/>
      </c>
      <c r="H19" s="13" t="n"/>
      <c r="I19" s="13" t="n"/>
      <c r="J19" s="13" t="n"/>
      <c r="K19" s="10" t="n"/>
      <c r="L19" s="10" t="n"/>
      <c r="M19" s="10" t="n"/>
    </row>
    <row r="21">
      <c r="A21" s="2" t="inlineStr">
        <is>
          <t>RR = industry obs/10k over the all-industry obs/10k. The under-reporting multiplier cancels out of RR entirely, so it rests on no adjustment.</t>
        </is>
      </c>
    </row>
    <row r="22">
      <c r="A22" s="2" t="inlineStr">
        <is>
          <t>Public Sector is counted per GOVERNMENT (90,887 units), not per firm - not directly comparable to the other rows.</t>
        </is>
      </c>
    </row>
    <row r="23">
      <c r="A23" s="2" t="inlineStr">
        <is>
          <t>low/high carry the under-reporting scenario band (5.8x / 10.6x), not a confidence interval. Poisson CIs on the counts are in the dataset.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3" customWidth="1" min="4" max="4"/>
    <col width="15" customWidth="1" min="5" max="5"/>
    <col width="60" customWidth="1" min="6" max="6"/>
  </cols>
  <sheetData>
    <row r="1">
      <c r="A1" s="1" t="inlineStr">
        <is>
          <t>Attack rate by revenue - US, 2025</t>
        </is>
      </c>
    </row>
    <row r="2">
      <c r="A2" s="2" t="inlineStr">
        <is>
          <t>Same victims, divided by industry receipts (SUSB 2022 RCPT, published in $1,000s; sectors sum to $50.5T). Rates are formulas.</t>
        </is>
      </c>
    </row>
    <row r="4">
      <c r="A4" s="5" t="inlineStr">
        <is>
          <t>Industry</t>
        </is>
      </c>
      <c r="B4" s="5" t="inlineStr">
        <is>
          <t>Receipts ($B)</t>
        </is>
      </c>
      <c r="C4" s="5" t="inlineStr">
        <is>
          <t>Victims (obs)</t>
        </is>
      </c>
      <c r="D4" s="5" t="inlineStr">
        <is>
          <t>obs per $100B</t>
        </is>
      </c>
      <c r="E4" s="5" t="inlineStr">
        <is>
          <t>central per $100B</t>
        </is>
      </c>
      <c r="F4" s="5" t="inlineStr">
        <is>
          <t>Caveat</t>
        </is>
      </c>
    </row>
    <row r="5">
      <c r="A5" s="6" t="inlineStr">
        <is>
          <t>Education</t>
        </is>
      </c>
      <c r="B5" s="14" t="n">
        <v>541.3</v>
      </c>
      <c r="C5" s="7" t="n">
        <v>174</v>
      </c>
      <c r="D5" s="8">
        <f>ROUND(C5/(B5/100),2)</f>
        <v/>
      </c>
      <c r="E5" s="9">
        <f>ROUND(C5*8.14*1.0385/(B5/100),1)</f>
        <v/>
      </c>
      <c r="F5" s="6" t="inlineStr">
        <is>
          <t>receipts cover private SUSB firms only; victims include public institutions, so the revenue rate is overstated</t>
        </is>
      </c>
    </row>
    <row r="6">
      <c r="A6" s="6" t="inlineStr">
        <is>
          <t>Technology</t>
        </is>
      </c>
      <c r="B6" s="14" t="n">
        <v>1739.5</v>
      </c>
      <c r="C6" s="7" t="n">
        <v>419</v>
      </c>
      <c r="D6" s="8">
        <f>ROUND(C6/(B6/100),2)</f>
        <v/>
      </c>
      <c r="E6" s="9">
        <f>ROUND(C6*7.4*1.0532/(B6/100),1)</f>
        <v/>
      </c>
      <c r="F6" s="6" t="inlineStr"/>
    </row>
    <row r="7">
      <c r="A7" s="6" t="inlineStr">
        <is>
          <t>Healthcare</t>
        </is>
      </c>
      <c r="B7" s="14" t="n">
        <v>3329</v>
      </c>
      <c r="C7" s="7" t="n">
        <v>365</v>
      </c>
      <c r="D7" s="8">
        <f>ROUND(C7/(B7/100),2)</f>
        <v/>
      </c>
      <c r="E7" s="9">
        <f>ROUND(C7*5.89*1.0326/(B7/100),1)</f>
        <v/>
      </c>
      <c r="F7" s="6" t="inlineStr"/>
    </row>
    <row r="8">
      <c r="A8" s="6" t="inlineStr">
        <is>
          <t>Construction</t>
        </is>
      </c>
      <c r="B8" s="14" t="n">
        <v>2918.2</v>
      </c>
      <c r="C8" s="7" t="n">
        <v>295</v>
      </c>
      <c r="D8" s="8">
        <f>ROUND(C8/(B8/100),2)</f>
        <v/>
      </c>
      <c r="E8" s="9">
        <f>ROUND(C8*7.4*1.0386/(B8/100),1)</f>
        <v/>
      </c>
      <c r="F8" s="6" t="inlineStr"/>
    </row>
    <row r="9">
      <c r="A9" s="6" t="inlineStr">
        <is>
          <t>Manufacturing</t>
        </is>
      </c>
      <c r="B9" s="14" t="n">
        <v>5847.7</v>
      </c>
      <c r="C9" s="7" t="n">
        <v>581</v>
      </c>
      <c r="D9" s="8">
        <f>ROUND(C9/(B9/100),2)</f>
        <v/>
      </c>
      <c r="E9" s="9">
        <f>ROUND(C9*7.4*1.0164/(B9/100),1)</f>
        <v/>
      </c>
      <c r="F9" s="6" t="inlineStr"/>
    </row>
    <row r="10">
      <c r="A10" s="6" t="inlineStr">
        <is>
          <t>Transportation/Logistics</t>
        </is>
      </c>
      <c r="B10" s="14" t="n">
        <v>1354</v>
      </c>
      <c r="C10" s="7" t="n">
        <v>126</v>
      </c>
      <c r="D10" s="8">
        <f>ROUND(C10/(B10/100),2)</f>
        <v/>
      </c>
      <c r="E10" s="9">
        <f>ROUND(C10*7.4*1.0611/(B10/100),1)</f>
        <v/>
      </c>
      <c r="F10" s="6" t="inlineStr"/>
    </row>
    <row r="11">
      <c r="A11" s="6" t="inlineStr">
        <is>
          <t>Agriculture and Food Production</t>
        </is>
      </c>
      <c r="B11" s="14" t="n">
        <v>1274.9</v>
      </c>
      <c r="C11" s="7" t="n">
        <v>110</v>
      </c>
      <c r="D11" s="8">
        <f>ROUND(C11/(B11/100),2)</f>
        <v/>
      </c>
      <c r="E11" s="9">
        <f>ROUND(C11*7.4*1.0218/(B11/100),1)</f>
        <v/>
      </c>
      <c r="F11" s="6" t="inlineStr"/>
    </row>
    <row r="12">
      <c r="A12" s="6" t="inlineStr">
        <is>
          <t>Telecommunication</t>
        </is>
      </c>
      <c r="B12" s="14" t="n">
        <v>668.9</v>
      </c>
      <c r="C12" s="7" t="n">
        <v>44</v>
      </c>
      <c r="D12" s="8">
        <f>ROUND(C12/(B12/100),2)</f>
        <v/>
      </c>
      <c r="E12" s="9">
        <f>ROUND(C12*7.4*1.0182/(B12/100),1)</f>
        <v/>
      </c>
      <c r="F12" s="6" t="inlineStr"/>
    </row>
    <row r="13">
      <c r="A13" s="6" t="inlineStr">
        <is>
          <t>Hospitality and Tourism</t>
        </is>
      </c>
      <c r="B13" s="14" t="n">
        <v>1547.8</v>
      </c>
      <c r="C13" s="7" t="n">
        <v>90</v>
      </c>
      <c r="D13" s="8">
        <f>ROUND(C13/(B13/100),2)</f>
        <v/>
      </c>
      <c r="E13" s="9">
        <f>ROUND(C13*7.4*1.0489/(B13/100),1)</f>
        <v/>
      </c>
      <c r="F13" s="6" t="inlineStr"/>
    </row>
    <row r="14">
      <c r="A14" s="6" t="inlineStr">
        <is>
          <t>Energy</t>
        </is>
      </c>
      <c r="B14" s="14" t="n">
        <v>1452.4</v>
      </c>
      <c r="C14" s="7" t="n">
        <v>71</v>
      </c>
      <c r="D14" s="8">
        <f>ROUND(C14/(B14/100),2)</f>
        <v/>
      </c>
      <c r="E14" s="9">
        <f>ROUND(C14*7.4*1.0197/(B14/100),1)</f>
        <v/>
      </c>
      <c r="F14" s="6" t="inlineStr"/>
    </row>
    <row r="15">
      <c r="A15" s="6" t="inlineStr">
        <is>
          <t>Financial Services</t>
        </is>
      </c>
      <c r="B15" s="14" t="n">
        <v>5753.3</v>
      </c>
      <c r="C15" s="7" t="n">
        <v>228</v>
      </c>
      <c r="D15" s="8">
        <f>ROUND(C15/(B15/100),2)</f>
        <v/>
      </c>
      <c r="E15" s="9">
        <f>ROUND(C15*7.4*1.025/(B15/100),1)</f>
        <v/>
      </c>
      <c r="F15" s="6" t="inlineStr"/>
    </row>
    <row r="16">
      <c r="A16" s="6" t="inlineStr">
        <is>
          <t>Consumer Services</t>
        </is>
      </c>
      <c r="B16" s="14" t="n">
        <v>7783.3</v>
      </c>
      <c r="C16" s="7" t="n">
        <v>293</v>
      </c>
      <c r="D16" s="8">
        <f>ROUND(C16/(B16/100),2)</f>
        <v/>
      </c>
      <c r="E16" s="9">
        <f>ROUND(C16*7.4*1.0423/(B16/100),1)</f>
        <v/>
      </c>
      <c r="F16" s="6" t="inlineStr"/>
    </row>
    <row r="17">
      <c r="A17" s="6" t="inlineStr">
        <is>
          <t>Business Services</t>
        </is>
      </c>
      <c r="B17" s="14" t="n">
        <v>16247.6</v>
      </c>
      <c r="C17" s="7" t="n">
        <v>523</v>
      </c>
      <c r="D17" s="8">
        <f>ROUND(C17/(B17/100),2)</f>
        <v/>
      </c>
      <c r="E17" s="9">
        <f>ROUND(C17*7.4*1.0398/(B17/100),1)</f>
        <v/>
      </c>
      <c r="F17" s="6" t="inlineStr"/>
    </row>
    <row r="18">
      <c r="A18" s="6" t="inlineStr">
        <is>
          <t>Public Sector</t>
        </is>
      </c>
      <c r="B18" s="6" t="inlineStr">
        <is>
          <t>n/a</t>
        </is>
      </c>
      <c r="C18" s="6" t="n">
        <v>140</v>
      </c>
      <c r="D18" s="6" t="inlineStr">
        <is>
          <t>n/a</t>
        </is>
      </c>
      <c r="E18" s="6" t="inlineStr">
        <is>
          <t>n/a</t>
        </is>
      </c>
      <c r="F18" s="6" t="inlineStr">
        <is>
          <t>governments have no SUSB receipts; no revenue rate</t>
        </is>
      </c>
    </row>
    <row r="20">
      <c r="A20" s="2" t="inlineStr">
        <is>
          <t>central = obs x (country adjustment) x R over the same receipts. Education is overstated (receipts are private-only; victims include public institutions).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4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Risk by employee band</t>
        </is>
      </c>
    </row>
    <row r="2">
      <c r="A2" s="2" t="inlineStr">
        <is>
          <t>Firm counts: SUSB unduplicated US totals. Victim sizes: the 227 leak-site records carrying an employee label (65 US). Shares and relative rate are formulas.</t>
        </is>
      </c>
    </row>
    <row r="4">
      <c r="A4" s="5" t="inlineStr">
        <is>
          <t>Band</t>
        </is>
      </c>
      <c r="B4" s="5" t="inlineStr">
        <is>
          <t>Firms</t>
        </is>
      </c>
      <c r="C4" s="5" t="inlineStr">
        <is>
          <t>Firm share</t>
        </is>
      </c>
      <c r="D4" s="5" t="inlineStr">
        <is>
          <t>Labelled victims</t>
        </is>
      </c>
      <c r="E4" s="5" t="inlineStr">
        <is>
          <t>Victim share</t>
        </is>
      </c>
      <c r="F4" s="5" t="inlineStr">
        <is>
          <t>Relative rate (obs)</t>
        </is>
      </c>
      <c r="G4" s="5" t="inlineStr">
        <is>
          <t>Relative rate (fitted)</t>
        </is>
      </c>
    </row>
    <row r="5">
      <c r="A5" s="6" t="inlineStr">
        <is>
          <t>1-4</t>
        </is>
      </c>
      <c r="B5" s="7" t="n">
        <v>4029041</v>
      </c>
      <c r="C5" s="15">
        <f>B5/B$13</f>
        <v/>
      </c>
      <c r="D5" s="7" t="n">
        <v>7</v>
      </c>
      <c r="E5" s="15">
        <f>D5/D$13</f>
        <v/>
      </c>
      <c r="F5" s="8">
        <f>ROUND(E5/C5,2)</f>
        <v/>
      </c>
      <c r="G5" s="8" t="n">
        <v>0.287</v>
      </c>
    </row>
    <row r="6">
      <c r="A6" s="6" t="inlineStr">
        <is>
          <t>5-9</t>
        </is>
      </c>
      <c r="B6" s="7" t="n">
        <v>1034135</v>
      </c>
      <c r="C6" s="15">
        <f>B6/B$13</f>
        <v/>
      </c>
      <c r="D6" s="7" t="n">
        <v>19</v>
      </c>
      <c r="E6" s="15">
        <f>D6/D$13</f>
        <v/>
      </c>
      <c r="F6" s="8">
        <f>ROUND(E6/C6,2)</f>
        <v/>
      </c>
      <c r="G6" s="8" t="n">
        <v>0.6879999999999999</v>
      </c>
    </row>
    <row r="7">
      <c r="A7" s="6" t="inlineStr">
        <is>
          <t>10-19</t>
        </is>
      </c>
      <c r="B7" s="7" t="n">
        <v>656917</v>
      </c>
      <c r="C7" s="15">
        <f>B7/B$13</f>
        <v/>
      </c>
      <c r="D7" s="7" t="n">
        <v>42</v>
      </c>
      <c r="E7" s="15">
        <f>D7/D$13</f>
        <v/>
      </c>
      <c r="F7" s="8">
        <f>ROUND(E7/C7,2)</f>
        <v/>
      </c>
      <c r="G7" s="8" t="n">
        <v>1.278</v>
      </c>
    </row>
    <row r="8">
      <c r="A8" s="6" t="inlineStr">
        <is>
          <t>20-49</t>
        </is>
      </c>
      <c r="B8" s="7" t="n">
        <v>427772</v>
      </c>
      <c r="C8" s="15">
        <f>B8/B$13</f>
        <v/>
      </c>
      <c r="D8" s="7" t="n">
        <v>40</v>
      </c>
      <c r="E8" s="15">
        <f>D8/D$13</f>
        <v/>
      </c>
      <c r="F8" s="8">
        <f>ROUND(E8/C8,2)</f>
        <v/>
      </c>
      <c r="G8" s="8" t="n">
        <v>2.67</v>
      </c>
    </row>
    <row r="9">
      <c r="A9" s="6" t="inlineStr">
        <is>
          <t>50-99</t>
        </is>
      </c>
      <c r="B9" s="7" t="n">
        <v>133388</v>
      </c>
      <c r="C9" s="15">
        <f>B9/B$13</f>
        <v/>
      </c>
      <c r="D9" s="7" t="n">
        <v>29</v>
      </c>
      <c r="E9" s="15">
        <f>D9/D$13</f>
        <v/>
      </c>
      <c r="F9" s="8">
        <f>ROUND(E9/C9,2)</f>
        <v/>
      </c>
      <c r="G9" s="8" t="n">
        <v>5.137</v>
      </c>
    </row>
    <row r="10">
      <c r="A10" s="6" t="inlineStr">
        <is>
          <t>100-499</t>
        </is>
      </c>
      <c r="B10" s="7" t="n">
        <v>93341</v>
      </c>
      <c r="C10" s="15">
        <f>B10/B$13</f>
        <v/>
      </c>
      <c r="D10" s="7" t="n">
        <v>68</v>
      </c>
      <c r="E10" s="15">
        <f>D10/D$13</f>
        <v/>
      </c>
      <c r="F10" s="8">
        <f>ROUND(E10/C10,2)</f>
        <v/>
      </c>
      <c r="G10" s="8" t="n">
        <v>16.789</v>
      </c>
    </row>
    <row r="11">
      <c r="A11" s="6" t="inlineStr">
        <is>
          <t>500-999</t>
        </is>
      </c>
      <c r="B11" s="7" t="n">
        <v>10400</v>
      </c>
      <c r="C11" s="15">
        <f>B11/B$13</f>
        <v/>
      </c>
      <c r="D11" s="7" t="n">
        <v>12</v>
      </c>
      <c r="E11" s="15">
        <f>D11/D$13</f>
        <v/>
      </c>
      <c r="F11" s="8">
        <f>ROUND(E11/C11,2)</f>
        <v/>
      </c>
      <c r="G11" s="8" t="n">
        <v>36.589</v>
      </c>
    </row>
    <row r="12">
      <c r="A12" s="6" t="inlineStr">
        <is>
          <t>1000+</t>
        </is>
      </c>
      <c r="B12" s="7" t="n">
        <v>10641</v>
      </c>
      <c r="C12" s="15">
        <f>B12/B$13</f>
        <v/>
      </c>
      <c r="D12" s="7" t="n">
        <v>10</v>
      </c>
      <c r="E12" s="15">
        <f>D12/D$13</f>
        <v/>
      </c>
      <c r="F12" s="8">
        <f>ROUND(E12/C12,2)</f>
        <v/>
      </c>
      <c r="G12" s="8" t="n">
        <v>36.589</v>
      </c>
    </row>
    <row r="13">
      <c r="A13" s="10" t="inlineStr">
        <is>
          <t>TOTAL</t>
        </is>
      </c>
      <c r="B13" s="16">
        <f>SUM(B5:B12)</f>
        <v/>
      </c>
      <c r="C13" s="17" t="n"/>
      <c r="D13" s="16">
        <f>SUM(D5:D12)</f>
        <v/>
      </c>
      <c r="E13" s="17" t="n"/>
      <c r="F13" s="17" t="n"/>
      <c r="G13" s="17" t="n"/>
    </row>
    <row r="15">
      <c r="A15" s="2" t="inlineStr">
        <is>
          <t>Weighted log-log fit: rate ~ employees^0.85 (R2 0.90), held flat above 1,000 employees.</t>
        </is>
      </c>
    </row>
    <row r="16">
      <c r="A16" s="2" t="inlineStr">
        <is>
          <t>The 1-4 band (63% of all US firms) rests on 7 labelled records; the fitted slope is probably too steep. Weakest link in the model, stated plainly.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8" customWidth="1" min="4" max="4"/>
    <col width="14" customWidth="1" min="5" max="5"/>
    <col width="34" customWidth="1" min="6" max="6"/>
  </cols>
  <sheetData>
    <row r="1">
      <c r="A1" s="1" t="inlineStr">
        <is>
          <t>Victims by year</t>
        </is>
      </c>
    </row>
    <row r="2">
      <c r="A2" s="2" t="inlineStr">
        <is>
          <t>Distinct organisations named per year (global). US counts before 2024 are floors: country is known for only 14-46% of 2021-2023 records.</t>
        </is>
      </c>
    </row>
    <row r="4">
      <c r="A4" s="5" t="inlineStr">
        <is>
          <t>Year</t>
        </is>
      </c>
      <c r="B4" s="5" t="inlineStr">
        <is>
          <t>Listings</t>
        </is>
      </c>
      <c r="C4" s="5" t="inlineStr">
        <is>
          <t>Distinct orgs</t>
        </is>
      </c>
      <c r="D4" s="5" t="inlineStr">
        <is>
          <t>US-confirmed distinct</t>
        </is>
      </c>
      <c r="E4" s="5" t="inlineStr">
        <is>
          <t>Country known %</t>
        </is>
      </c>
      <c r="F4" s="5" t="inlineStr">
        <is>
          <t>Note</t>
        </is>
      </c>
    </row>
    <row r="5">
      <c r="A5" s="18" t="n">
        <v>2020</v>
      </c>
      <c r="B5" s="7" t="n">
        <v>257</v>
      </c>
      <c r="C5" s="7" t="n">
        <v>255</v>
      </c>
      <c r="D5" s="7" t="n">
        <v>124</v>
      </c>
      <c r="E5" s="19" t="n">
        <v>0.763</v>
      </c>
      <c r="F5" s="6" t="inlineStr"/>
    </row>
    <row r="6">
      <c r="A6" s="18" t="n">
        <v>2021</v>
      </c>
      <c r="B6" s="7" t="n">
        <v>1542</v>
      </c>
      <c r="C6" s="7" t="n">
        <v>1530</v>
      </c>
      <c r="D6" s="7" t="n">
        <v>67</v>
      </c>
      <c r="E6" s="19" t="n">
        <v>0.136</v>
      </c>
      <c r="F6" s="6" t="inlineStr"/>
    </row>
    <row r="7">
      <c r="A7" s="18" t="n">
        <v>2022</v>
      </c>
      <c r="B7" s="7" t="n">
        <v>2604</v>
      </c>
      <c r="C7" s="7" t="n">
        <v>2539</v>
      </c>
      <c r="D7" s="7" t="n">
        <v>133</v>
      </c>
      <c r="E7" s="19" t="n">
        <v>0.225</v>
      </c>
      <c r="F7" s="6" t="inlineStr"/>
    </row>
    <row r="8">
      <c r="A8" s="18" t="n">
        <v>2023</v>
      </c>
      <c r="B8" s="7" t="n">
        <v>5066</v>
      </c>
      <c r="C8" s="7" t="n">
        <v>4597</v>
      </c>
      <c r="D8" s="7" t="n">
        <v>564</v>
      </c>
      <c r="E8" s="19" t="n">
        <v>0.456</v>
      </c>
      <c r="F8" s="6" t="inlineStr"/>
    </row>
    <row r="9">
      <c r="A9" s="18" t="n">
        <v>2024</v>
      </c>
      <c r="B9" s="7" t="n">
        <v>5892</v>
      </c>
      <c r="C9" s="7" t="n">
        <v>5472</v>
      </c>
      <c r="D9" s="7" t="n">
        <v>2666</v>
      </c>
      <c r="E9" s="19" t="n">
        <v>0.971</v>
      </c>
      <c r="F9" s="6" t="inlineStr"/>
    </row>
    <row r="10">
      <c r="A10" s="18" t="n">
        <v>2025</v>
      </c>
      <c r="B10" s="7" t="n">
        <v>7254</v>
      </c>
      <c r="C10" s="7" t="n">
        <v>6973</v>
      </c>
      <c r="D10" s="7" t="n">
        <v>3435</v>
      </c>
      <c r="E10" s="19" t="n">
        <v>0.9690000000000001</v>
      </c>
      <c r="F10" s="6" t="inlineStr">
        <is>
          <t>rate year</t>
        </is>
      </c>
    </row>
    <row r="11">
      <c r="A11" s="18" t="n">
        <v>2026</v>
      </c>
      <c r="B11" s="7" t="n">
        <v>4350</v>
      </c>
      <c r="C11" s="7" t="n">
        <v>4231</v>
      </c>
      <c r="D11" s="7" t="n">
        <v>1726</v>
      </c>
      <c r="E11" s="19" t="n">
        <v>0.96</v>
      </c>
      <c r="F11" s="6" t="inlineStr">
        <is>
          <t>snapshot ends mid-2026</t>
        </is>
      </c>
    </row>
    <row r="13">
      <c r="A13" s="2" t="inlineStr">
        <is>
          <t>US counts before 2024 are floors, not totals: country is known for only 14-46% of 2021-2023 records, against ~97% from 2024 on. Annual US rates are therefore only computable from 2024.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Repeat victimisation</t>
        </is>
      </c>
    </row>
    <row r="2">
      <c r="A2" s="2" t="inlineStr">
        <is>
          <t>How often the same organisation appears more than once, matched on normalised name and domain across all 27,108 records.</t>
        </is>
      </c>
    </row>
    <row r="4">
      <c r="A4" s="6" t="inlineStr">
        <is>
          <t>Distinct organisations ever listed</t>
        </is>
      </c>
      <c r="B4" s="20" t="n">
        <v>25244</v>
      </c>
    </row>
    <row r="5">
      <c r="A5" s="6" t="inlineStr">
        <is>
          <t>Listed more than once</t>
        </is>
      </c>
      <c r="B5" s="20" t="n">
        <v>1543</v>
      </c>
    </row>
    <row r="6">
      <c r="A6" s="6" t="inlineStr">
        <is>
          <t>Repeat rate</t>
        </is>
      </c>
      <c r="B6" s="21" t="n">
        <v>0.0611</v>
      </c>
    </row>
    <row r="7">
      <c r="A7" s="6" t="inlineStr">
        <is>
          <t>By 2+ different crews</t>
        </is>
      </c>
      <c r="B7" s="20" t="n">
        <v>1066</v>
      </c>
    </row>
    <row r="8">
      <c r="A8" s="6" t="inlineStr">
        <is>
          <t>Different crew AND different year (clear re-attacks)</t>
        </is>
      </c>
      <c r="B8" s="20" t="n">
        <v>400</v>
      </c>
    </row>
    <row r="9">
      <c r="A9" s="6" t="inlineStr">
        <is>
          <t>US 2025: distinct organisations</t>
        </is>
      </c>
      <c r="B9" s="20" t="n">
        <v>3435</v>
      </c>
    </row>
    <row r="10">
      <c r="A10" s="6" t="inlineStr">
        <is>
          <t>US 2025: listed 2+ times</t>
        </is>
      </c>
      <c r="B10" s="20" t="n">
        <v>114</v>
      </c>
    </row>
    <row r="11">
      <c r="A11" s="6" t="inlineStr">
        <is>
          <t>US 2025 repeat rate</t>
        </is>
      </c>
      <c r="B11" s="21" t="n">
        <v>0.0332</v>
      </c>
    </row>
    <row r="13">
      <c r="A13" s="2" t="inlineStr">
        <is>
          <t>A 3.3% within-year repeat rate means attack arrivals are close to, but not exactly, independent - mild overdispersion relative to Poisson. At this magnitude it moves nothing material, but a fitted model should use negative binomial rather than assume it away.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Under-reporting, measured</t>
        </is>
      </c>
    </row>
    <row r="2">
      <c r="A2" s="2" t="inlineStr">
        <is>
          <t>Chapman capture-recapture vs the independent Comparitech list. N and R are LIVE FORMULAS over A, B, M - change an input and the estimate recalculates.</t>
        </is>
      </c>
    </row>
    <row r="4">
      <c r="A4" s="5" t="inlineStr">
        <is>
          <t>Stratum</t>
        </is>
      </c>
      <c r="B4" s="5" t="inlineStr">
        <is>
          <t>A (leak-site)</t>
        </is>
      </c>
      <c r="C4" s="5" t="inlineStr">
        <is>
          <t>B (independent)</t>
        </is>
      </c>
      <c r="D4" s="5" t="inlineStr">
        <is>
          <t>M (both)</t>
        </is>
      </c>
      <c r="E4" s="5" t="inlineStr">
        <is>
          <t>N-hat (Chapman)</t>
        </is>
      </c>
      <c r="F4" s="5" t="inlineStr">
        <is>
          <t>R = N/A</t>
        </is>
      </c>
      <c r="G4" s="5" t="inlineStr">
        <is>
          <t>R @25% copied</t>
        </is>
      </c>
      <c r="H4" s="5" t="inlineStr">
        <is>
          <t>R @50% copied</t>
        </is>
      </c>
    </row>
    <row r="5">
      <c r="A5" s="6" t="inlineStr">
        <is>
          <t>Healthcare</t>
        </is>
      </c>
      <c r="B5" s="7" t="n">
        <v>1057</v>
      </c>
      <c r="C5" s="7" t="n">
        <v>910</v>
      </c>
      <c r="D5" s="7" t="n">
        <v>194</v>
      </c>
      <c r="E5" s="7">
        <f>ROUND((B5+1)*(C5+1)/(D5+1)-1,0)</f>
        <v/>
      </c>
      <c r="F5" s="8">
        <f>ROUND(E5/B5,2)</f>
        <v/>
      </c>
      <c r="G5" s="8">
        <f>ROUND(((B5+1)*((C5-0.25*D5)+1)/((D5*0.75)+1)-1)/B5,2)</f>
        <v/>
      </c>
      <c r="H5" s="8">
        <f>ROUND(((B5+1)*((C5-0.5*D5)+1)/((D5*0.5)+1)-1)/B5,2)</f>
        <v/>
      </c>
    </row>
    <row r="6">
      <c r="A6" s="6" t="inlineStr">
        <is>
          <t>Education</t>
        </is>
      </c>
      <c r="B6" s="7" t="n">
        <v>508</v>
      </c>
      <c r="C6" s="7" t="n">
        <v>597</v>
      </c>
      <c r="D6" s="7" t="n">
        <v>93</v>
      </c>
      <c r="E6" s="7">
        <f>ROUND((B6+1)*(C6+1)/(D6+1)-1,0)</f>
        <v/>
      </c>
      <c r="F6" s="8">
        <f>ROUND(E6/B6,2)</f>
        <v/>
      </c>
      <c r="G6" s="8">
        <f>ROUND(((B6+1)*((C6-0.25*D6)+1)/((D6*0.75)+1)-1)/B6,2)</f>
        <v/>
      </c>
      <c r="H6" s="8">
        <f>ROUND(((B6+1)*((C6-0.5*D6)+1)/((D6*0.5)+1)-1)/B6,2)</f>
        <v/>
      </c>
    </row>
    <row r="7">
      <c r="A7" s="6" t="inlineStr">
        <is>
          <t>Public Sector</t>
        </is>
      </c>
      <c r="B7" s="7" t="n">
        <v>443</v>
      </c>
      <c r="C7" s="7" t="n">
        <v>617</v>
      </c>
      <c r="D7" s="7" t="n">
        <v>95</v>
      </c>
      <c r="E7" s="7">
        <f>ROUND((B7+1)*(C7+1)/(D7+1)-1,0)</f>
        <v/>
      </c>
      <c r="F7" s="8">
        <f>ROUND(E7/B7,2)</f>
        <v/>
      </c>
      <c r="G7" s="8">
        <f>ROUND(((B7+1)*((C7-0.25*D7)+1)/((D7*0.75)+1)-1)/B7,2)</f>
        <v/>
      </c>
      <c r="H7" s="8">
        <f>ROUND(((B7+1)*((C7-0.5*D7)+1)/((D7*0.5)+1)-1)/B7,2)</f>
        <v/>
      </c>
    </row>
    <row r="9">
      <c r="A9" s="22" t="inlineStr">
        <is>
          <t>Published schedule</t>
        </is>
      </c>
      <c r="B9" s="22" t="inlineStr">
        <is>
          <t>low 5.8x</t>
        </is>
      </c>
      <c r="C9" s="22" t="inlineStr">
        <is>
          <t>central 7.4x</t>
        </is>
      </c>
      <c r="D9" s="22" t="inlineStr">
        <is>
          <t>high 10.6x</t>
        </is>
      </c>
    </row>
    <row r="11">
      <c r="A11" s="5" t="inlineStr">
        <is>
          <t>HHS cross-check (mandatory list)</t>
        </is>
      </c>
      <c r="B11" s="5" t="inlineStr">
        <is>
          <t>B (HHS)</t>
        </is>
      </c>
      <c r="C11" s="5" t="inlineStr">
        <is>
          <t>M (matched)</t>
        </is>
      </c>
      <c r="D11" s="5" t="inlineStr">
        <is>
          <t>Capture</t>
        </is>
      </c>
      <c r="E11" s="5" t="inlineStr">
        <is>
          <t>Implied R</t>
        </is>
      </c>
    </row>
    <row r="12">
      <c r="A12" s="6" t="inlineStr">
        <is>
          <t>ransomware-indicated, 2019+</t>
        </is>
      </c>
      <c r="B12" s="7" t="n">
        <v>1107</v>
      </c>
      <c r="C12" s="7" t="n">
        <v>51</v>
      </c>
      <c r="D12" s="19">
        <f>C12/B12</f>
        <v/>
      </c>
      <c r="E12" s="9">
        <f>ROUND(B12/C12,1)</f>
        <v/>
      </c>
    </row>
    <row r="14">
      <c r="A14" s="2" t="inlineStr">
        <is>
          <t>The naive column assumes list independence and is a hard LOWER bound; the HHS route implies ~22x. Published rates follow the conservative schedule, so they are more likely too low than too high.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3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Benchmark vs Verizon DBIR 2026</t>
        </is>
      </c>
    </row>
    <row r="2">
      <c r="A2" s="2" t="inlineStr">
        <is>
          <t>DBIR Table 3 (p.77) incidents mapped onto our sectors by NAICS. Shares and deltas are formulas. DBIR figures transcribed from the published PDF, cited by page.</t>
        </is>
      </c>
    </row>
    <row r="4">
      <c r="A4" s="5" t="inlineStr">
        <is>
          <t>Sector</t>
        </is>
      </c>
      <c r="B4" s="5" t="inlineStr">
        <is>
          <t>Ours (2025 distinct)</t>
        </is>
      </c>
      <c r="C4" s="5" t="inlineStr">
        <is>
          <t>DBIR incidents</t>
        </is>
      </c>
      <c r="D4" s="5" t="inlineStr">
        <is>
          <t>Our share</t>
        </is>
      </c>
      <c r="E4" s="5" t="inlineStr">
        <is>
          <t>DBIR share</t>
        </is>
      </c>
      <c r="F4" s="5" t="inlineStr">
        <is>
          <t>Delta (pp)</t>
        </is>
      </c>
    </row>
    <row r="5">
      <c r="A5" s="6" t="inlineStr">
        <is>
          <t>Manufacturing</t>
        </is>
      </c>
      <c r="B5" s="7" t="n">
        <v>1167</v>
      </c>
      <c r="C5" s="7" t="n">
        <v>3627</v>
      </c>
      <c r="D5" s="19">
        <f>B5/B$18</f>
        <v/>
      </c>
      <c r="E5" s="19">
        <f>C5/C$18</f>
        <v/>
      </c>
      <c r="F5" s="23">
        <f>(D5-E5)*100</f>
        <v/>
      </c>
    </row>
    <row r="6">
      <c r="A6" s="6" t="inlineStr">
        <is>
          <t>Technology + Telecommunication</t>
        </is>
      </c>
      <c r="B6" s="7" t="n">
        <v>1115</v>
      </c>
      <c r="C6" s="7" t="n">
        <v>1703</v>
      </c>
      <c r="D6" s="19">
        <f>B6/B$18</f>
        <v/>
      </c>
      <c r="E6" s="19">
        <f>C6/C$18</f>
        <v/>
      </c>
      <c r="F6" s="23">
        <f>(D6-E6)*100</f>
        <v/>
      </c>
    </row>
    <row r="7">
      <c r="A7" s="6" t="inlineStr">
        <is>
          <t>Business Services</t>
        </is>
      </c>
      <c r="B7" s="7" t="n">
        <v>959</v>
      </c>
      <c r="C7" s="7" t="n">
        <v>5665</v>
      </c>
      <c r="D7" s="19">
        <f>B7/B$18</f>
        <v/>
      </c>
      <c r="E7" s="19">
        <f>C7/C$18</f>
        <v/>
      </c>
      <c r="F7" s="23">
        <f>(D7-E7)*100</f>
        <v/>
      </c>
    </row>
    <row r="8">
      <c r="A8" s="6" t="inlineStr">
        <is>
          <t>Healthcare</t>
        </is>
      </c>
      <c r="B8" s="7" t="n">
        <v>604</v>
      </c>
      <c r="C8" s="7" t="n">
        <v>1492</v>
      </c>
      <c r="D8" s="19">
        <f>B8/B$18</f>
        <v/>
      </c>
      <c r="E8" s="19">
        <f>C8/C$18</f>
        <v/>
      </c>
      <c r="F8" s="23">
        <f>(D8-E8)*100</f>
        <v/>
      </c>
    </row>
    <row r="9">
      <c r="A9" s="6" t="inlineStr">
        <is>
          <t>Consumer Services</t>
        </is>
      </c>
      <c r="B9" s="7" t="n">
        <v>586</v>
      </c>
      <c r="C9" s="7" t="n">
        <v>1897</v>
      </c>
      <c r="D9" s="19">
        <f>B9/B$18</f>
        <v/>
      </c>
      <c r="E9" s="19">
        <f>C9/C$18</f>
        <v/>
      </c>
      <c r="F9" s="23">
        <f>(D9-E9)*100</f>
        <v/>
      </c>
    </row>
    <row r="10">
      <c r="A10" s="6" t="inlineStr">
        <is>
          <t>Construction</t>
        </is>
      </c>
      <c r="B10" s="7" t="n">
        <v>497</v>
      </c>
      <c r="C10" s="7" t="n">
        <v>843</v>
      </c>
      <c r="D10" s="19">
        <f>B10/B$18</f>
        <v/>
      </c>
      <c r="E10" s="19">
        <f>C10/C$18</f>
        <v/>
      </c>
      <c r="F10" s="23">
        <f>(D10-E10)*100</f>
        <v/>
      </c>
    </row>
    <row r="11">
      <c r="A11" s="6" t="inlineStr">
        <is>
          <t>Financial Services</t>
        </is>
      </c>
      <c r="B11" s="7" t="n">
        <v>460</v>
      </c>
      <c r="C11" s="7" t="n">
        <v>3809</v>
      </c>
      <c r="D11" s="19">
        <f>B11/B$18</f>
        <v/>
      </c>
      <c r="E11" s="19">
        <f>C11/C$18</f>
        <v/>
      </c>
      <c r="F11" s="23">
        <f>(D11-E11)*100</f>
        <v/>
      </c>
    </row>
    <row r="12">
      <c r="A12" s="6" t="inlineStr">
        <is>
          <t>Transportation/Logistics</t>
        </is>
      </c>
      <c r="B12" s="7" t="n">
        <v>339</v>
      </c>
      <c r="C12" s="7" t="n">
        <v>689</v>
      </c>
      <c r="D12" s="19">
        <f>B12/B$18</f>
        <v/>
      </c>
      <c r="E12" s="19">
        <f>C12/C$18</f>
        <v/>
      </c>
      <c r="F12" s="23">
        <f>(D12-E12)*100</f>
        <v/>
      </c>
    </row>
    <row r="13">
      <c r="A13" s="6" t="inlineStr">
        <is>
          <t>Education</t>
        </is>
      </c>
      <c r="B13" s="7" t="n">
        <v>321</v>
      </c>
      <c r="C13" s="7" t="n">
        <v>1302</v>
      </c>
      <c r="D13" s="19">
        <f>B13/B$18</f>
        <v/>
      </c>
      <c r="E13" s="19">
        <f>C13/C$18</f>
        <v/>
      </c>
      <c r="F13" s="23">
        <f>(D13-E13)*100</f>
        <v/>
      </c>
    </row>
    <row r="14">
      <c r="A14" s="6" t="inlineStr">
        <is>
          <t>Public Sector</t>
        </is>
      </c>
      <c r="B14" s="7" t="n">
        <v>321</v>
      </c>
      <c r="C14" s="7" t="n">
        <v>3634</v>
      </c>
      <c r="D14" s="19">
        <f>B14/B$18</f>
        <v/>
      </c>
      <c r="E14" s="19">
        <f>C14/C$18</f>
        <v/>
      </c>
      <c r="F14" s="23">
        <f>(D14-E14)*100</f>
        <v/>
      </c>
    </row>
    <row r="15">
      <c r="A15" s="6" t="inlineStr">
        <is>
          <t>Agriculture and Food Production</t>
        </is>
      </c>
      <c r="B15" s="7" t="n">
        <v>281</v>
      </c>
      <c r="C15" s="7" t="n">
        <v>223</v>
      </c>
      <c r="D15" s="19">
        <f>B15/B$18</f>
        <v/>
      </c>
      <c r="E15" s="19">
        <f>C15/C$18</f>
        <v/>
      </c>
      <c r="F15" s="23">
        <f>(D15-E15)*100</f>
        <v/>
      </c>
    </row>
    <row r="16">
      <c r="A16" s="6" t="inlineStr">
        <is>
          <t>Hospitality and Tourism</t>
        </is>
      </c>
      <c r="B16" s="7" t="n">
        <v>206</v>
      </c>
      <c r="C16" s="7" t="n">
        <v>906</v>
      </c>
      <c r="D16" s="19">
        <f>B16/B$18</f>
        <v/>
      </c>
      <c r="E16" s="19">
        <f>C16/C$18</f>
        <v/>
      </c>
      <c r="F16" s="23">
        <f>(D16-E16)*100</f>
        <v/>
      </c>
    </row>
    <row r="17">
      <c r="A17" s="6" t="inlineStr">
        <is>
          <t>Energy</t>
        </is>
      </c>
      <c r="B17" s="7" t="n">
        <v>193</v>
      </c>
      <c r="C17" s="7" t="n">
        <v>710</v>
      </c>
      <c r="D17" s="19">
        <f>B17/B$18</f>
        <v/>
      </c>
      <c r="E17" s="19">
        <f>C17/C$18</f>
        <v/>
      </c>
      <c r="F17" s="23">
        <f>(D17-E17)*100</f>
        <v/>
      </c>
    </row>
    <row r="18">
      <c r="A18" s="10" t="inlineStr">
        <is>
          <t>TOTAL</t>
        </is>
      </c>
      <c r="B18" s="16">
        <f>SUM(B5:B17)</f>
        <v/>
      </c>
      <c r="C18" s="16">
        <f>SUM(C5:C17)</f>
        <v/>
      </c>
      <c r="D18" s="17" t="n"/>
      <c r="E18" s="17" t="n"/>
      <c r="F18" s="17" t="n"/>
    </row>
    <row r="20">
      <c r="A20" s="2" t="inlineStr">
        <is>
          <t>Spearman rank correlation: 0.569 - directionally consistent; the big gaps line up with who is REQUIRED to report (Public Sector, Finance are 2-3x heavier in DBIR).</t>
        </is>
      </c>
    </row>
    <row r="21">
      <c r="A21" s="2" t="inlineStr">
        <is>
          <t>Size: DBIR ~96% of ransomware victims are SMBs (p.98) vs our 95.6% of size-labelled victims - independent agreement.</t>
        </is>
      </c>
    </row>
    <row r="22">
      <c r="A22" s="2" t="inlineStr">
        <is>
          <t>Volume floor: DBIR contributors documented ~10,860 ransomware breaches (48% x 22,625, pp.11/77) = 1.56x all leak-site-named orgs in 2025 (6,973).</t>
        </is>
      </c>
    </row>
    <row r="23">
      <c r="A23" s="2" t="inlineStr">
        <is>
          <t>Ransom ladder: paid $139,875 median (DBIR p.11) / demanded $428k (Comparitech) / news-reported $8M (researched). 69% of DBIR victims did not pay.</t>
        </is>
      </c>
    </row>
    <row r="24">
      <c r="A24" s="2" t="inlineStr">
        <is>
          <t>Caveats: DBIR counts all incident types (Table 3 is not per-pattern); DBIR keeps food manufacturing in 31-33 where our crosswalk assigns it to Agriculture; 'Information (51)' is compared against our Technology+Telecommunication combined.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2" customWidth="1" min="3" max="3"/>
    <col width="12" customWidth="1" min="4" max="4"/>
    <col width="13" customWidth="1" min="5" max="5"/>
    <col width="14" customWidth="1" min="6" max="6"/>
    <col width="11" customWidth="1" min="7" max="7"/>
    <col width="12" customWidth="1" min="8" max="8"/>
    <col width="7" customWidth="1" min="9" max="9"/>
    <col width="46" customWidth="1" min="10" max="10"/>
  </cols>
  <sheetData>
    <row r="1">
      <c r="A1" s="1" t="inlineStr">
        <is>
          <t>Severity distributions</t>
        </is>
      </c>
    </row>
    <row r="2">
      <c r="A2" s="2" t="inlineStr">
        <is>
          <t>Computed from the collections at export time. Use records affected for modelling (n=1,246 ransomware) - dollar figures are few and mixed-basis.</t>
        </is>
      </c>
    </row>
    <row r="4">
      <c r="A4" s="5" t="inlineStr">
        <is>
          <t>Variable</t>
        </is>
      </c>
      <c r="B4" s="5" t="inlineStr">
        <is>
          <t>n</t>
        </is>
      </c>
      <c r="C4" s="5" t="inlineStr">
        <is>
          <t>Median</t>
        </is>
      </c>
      <c r="D4" s="5" t="inlineStr">
        <is>
          <t>p75</t>
        </is>
      </c>
      <c r="E4" s="5" t="inlineStr">
        <is>
          <t>p95</t>
        </is>
      </c>
      <c r="F4" s="5" t="inlineStr">
        <is>
          <t>Max</t>
        </is>
      </c>
      <c r="G4" s="5" t="inlineStr">
        <is>
          <t>lognormal mu</t>
        </is>
      </c>
      <c r="H4" s="5" t="inlineStr">
        <is>
          <t>lognormal sigma</t>
        </is>
      </c>
      <c r="I4" s="5" t="inlineStr">
        <is>
          <t>Unit</t>
        </is>
      </c>
      <c r="J4" s="5" t="inlineStr">
        <is>
          <t>Source</t>
        </is>
      </c>
    </row>
    <row r="5">
      <c r="A5" s="6" t="inlineStr">
        <is>
          <t>Records affected - HHS, ransomware-indicated</t>
        </is>
      </c>
      <c r="B5" s="7" t="n">
        <v>1246</v>
      </c>
      <c r="C5" s="7" t="n">
        <v>12859</v>
      </c>
      <c r="D5" s="7" t="n">
        <v>64855</v>
      </c>
      <c r="E5" s="7" t="n">
        <v>535489</v>
      </c>
      <c r="F5" s="7" t="n">
        <v>9302588</v>
      </c>
      <c r="G5" s="8" t="n">
        <v>9.630000000000001</v>
      </c>
      <c r="H5" s="8" t="n">
        <v>2.03</v>
      </c>
      <c r="I5" s="6" t="inlineStr">
        <is>
          <t>people</t>
        </is>
      </c>
      <c r="J5" s="6" t="inlineStr">
        <is>
          <t>HHS OCR portal, mandatory 500+ reports, 2009-2026</t>
        </is>
      </c>
    </row>
    <row r="6">
      <c r="A6" s="6" t="inlineStr">
        <is>
          <t>Records affected - HHS, all breach types</t>
        </is>
      </c>
      <c r="B6" s="7" t="n">
        <v>7924</v>
      </c>
      <c r="C6" s="7" t="n">
        <v>4004</v>
      </c>
      <c r="D6" s="7" t="n">
        <v>20040</v>
      </c>
      <c r="E6" s="7" t="n">
        <v>307864</v>
      </c>
      <c r="F6" s="7" t="n">
        <v>192700000</v>
      </c>
      <c r="G6" s="8" t="n">
        <v>8.74</v>
      </c>
      <c r="H6" s="8" t="n">
        <v>1.99</v>
      </c>
      <c r="I6" s="6" t="inlineStr">
        <is>
          <t>people</t>
        </is>
      </c>
      <c r="J6" s="6" t="inlineStr">
        <is>
          <t>HHS OCR portal</t>
        </is>
      </c>
    </row>
    <row r="7">
      <c r="A7" s="6" t="inlineStr">
        <is>
          <t>Records affected - Comparitech</t>
        </is>
      </c>
      <c r="B7" s="7" t="n">
        <v>2990</v>
      </c>
      <c r="C7" s="7" t="n">
        <v>6663</v>
      </c>
      <c r="D7" s="7" t="n">
        <v>34775</v>
      </c>
      <c r="E7" s="7" t="n">
        <v>484000</v>
      </c>
      <c r="F7" s="7" t="n">
        <v>192700000</v>
      </c>
      <c r="G7" s="8" t="n">
        <v>8.92</v>
      </c>
      <c r="H7" s="8" t="n">
        <v>2.37</v>
      </c>
      <c r="I7" s="6" t="inlineStr">
        <is>
          <t>people</t>
        </is>
      </c>
      <c r="J7" s="6" t="inlineStr">
        <is>
          <t>Comparitech trackers</t>
        </is>
      </c>
    </row>
    <row r="8">
      <c r="A8" s="6" t="inlineStr">
        <is>
          <t>Ransom amount - Comparitech</t>
        </is>
      </c>
      <c r="B8" s="7" t="n">
        <v>623</v>
      </c>
      <c r="C8" s="7" t="n">
        <v>428163</v>
      </c>
      <c r="D8" s="7" t="n">
        <v>1300000</v>
      </c>
      <c r="E8" s="7" t="n">
        <v>10780000</v>
      </c>
      <c r="F8" s="7" t="n">
        <v>200000000</v>
      </c>
      <c r="G8" s="8" t="n">
        <v>12.84</v>
      </c>
      <c r="H8" s="8" t="n">
        <v>2.23</v>
      </c>
      <c r="I8" s="6" t="inlineStr">
        <is>
          <t>USD</t>
        </is>
      </c>
      <c r="J8" s="6" t="inlineStr">
        <is>
          <t>Comparitech trackers (demands/known amounts)</t>
        </is>
      </c>
    </row>
    <row r="9">
      <c r="A9" s="6" t="inlineStr">
        <is>
          <t>Ransom amount - researched incidents</t>
        </is>
      </c>
      <c r="B9" s="7" t="n">
        <v>73</v>
      </c>
      <c r="C9" s="7" t="n">
        <v>8000000</v>
      </c>
      <c r="D9" s="7" t="n">
        <v>22000000</v>
      </c>
      <c r="E9" s="7" t="n">
        <v>70000000</v>
      </c>
      <c r="F9" s="7" t="n">
        <v>75000000</v>
      </c>
      <c r="G9" s="8" t="n">
        <v>15.2</v>
      </c>
      <c r="H9" s="8" t="n">
        <v>2.54</v>
      </c>
      <c r="I9" s="6" t="inlineStr">
        <is>
          <t>USD</t>
        </is>
      </c>
      <c r="J9" s="6" t="inlineStr">
        <is>
          <t>researched incidents (news-reported; selection-biased large)</t>
        </is>
      </c>
    </row>
    <row r="10">
      <c r="A10" s="6" t="inlineStr">
        <is>
          <t>Financial impact - researched incidents</t>
        </is>
      </c>
      <c r="B10" s="7" t="n">
        <v>58</v>
      </c>
      <c r="C10" s="7" t="n">
        <v>23000000</v>
      </c>
      <c r="D10" s="7" t="n">
        <v>75000000</v>
      </c>
      <c r="E10" s="7" t="n">
        <v>2390000000</v>
      </c>
      <c r="F10" s="7" t="n">
        <v>2900000000</v>
      </c>
      <c r="G10" s="8" t="n">
        <v>16.42</v>
      </c>
      <c r="H10" s="8" t="n">
        <v>3.09</v>
      </c>
      <c r="I10" s="6" t="inlineStr">
        <is>
          <t>USD</t>
        </is>
      </c>
      <c r="J10" s="6" t="inlineStr">
        <is>
          <t>researched incidents (mixed basis: cost/recovery/fines)</t>
        </is>
      </c>
    </row>
    <row r="12">
      <c r="A12" s="2" t="inlineStr">
        <is>
          <t>The two ransom medians differ 19x ($428k vs $8.0M): selection bias, not error. Each list up the ladder (paid -&gt; tracked -&gt; newsworthy) selects for bigger incidents.</t>
        </is>
      </c>
    </row>
    <row r="13">
      <c r="A13" s="2" t="inlineStr">
        <is>
          <t>Downtime: 323 incidents describe recovery in words; only ~10 state a usable duration. Not modellable from public sources.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18" customWidth="1" min="3" max="3"/>
    <col width="9" customWidth="1" min="4" max="4"/>
  </cols>
  <sheetData>
    <row r="1">
      <c r="A1" s="1" t="inlineStr">
        <is>
          <t>Totals, re-added from their parts</t>
        </is>
      </c>
    </row>
    <row r="2">
      <c r="A2" s="2" t="inlineStr">
        <is>
          <t>The 'do the industries sum?' sheet. Each total is a SUM formula over its parts, next to the independently published total it must (or must not) match.</t>
        </is>
      </c>
    </row>
    <row r="4">
      <c r="A4" s="24" t="inlineStr">
        <is>
          <t>Check</t>
        </is>
      </c>
      <c r="B4" s="24" t="inlineStr">
        <is>
          <t>Sum of parts</t>
        </is>
      </c>
      <c r="C4" s="24" t="inlineStr">
        <is>
          <t>Published / expected</t>
        </is>
      </c>
      <c r="D4" s="24" t="inlineStr">
        <is>
          <t>Match?</t>
        </is>
      </c>
    </row>
    <row r="5">
      <c r="A5" s="25" t="inlineStr">
        <is>
          <t>US 2025 victims: 14 industry rows sum to the model total</t>
        </is>
      </c>
      <c r="B5" s="7">
        <f>Frequency!B19</f>
        <v/>
      </c>
      <c r="C5" s="7" t="n">
        <v>3459</v>
      </c>
      <c r="D5" s="6">
        <f>IF(B5=C5,"YES","NO")</f>
        <v/>
      </c>
    </row>
    <row r="6">
      <c r="A6" s="25" t="inlineStr">
        <is>
          <t>US firms: 14 sector denominators sum to the model total</t>
        </is>
      </c>
      <c r="B6" s="7">
        <f>Frequency!D19</f>
        <v/>
      </c>
      <c r="C6" s="7" t="n">
        <v>6517587</v>
      </c>
      <c r="D6" s="6">
        <f>IF(B6=C6,"YES","NO")</f>
        <v/>
      </c>
    </row>
    <row r="7">
      <c r="A7" s="25" t="inlineStr">
        <is>
          <t>SUSB sector firm sums EXCEED the unduplicated US total - by design: SUSB counts a firm once per sector it operates in (sum 6,411,782 + 105,805 supplements vs 6,395,635 unduplicated)</t>
        </is>
      </c>
      <c r="B7" s="7" t="n">
        <v>6517587</v>
      </c>
      <c r="C7" s="7" t="n">
        <v>6395635</v>
      </c>
      <c r="D7" s="6">
        <f>IF(B7&gt;C7,"YES (by design)","NO")</f>
        <v/>
      </c>
    </row>
    <row r="8">
      <c r="A8" s="25" t="inlineStr">
        <is>
          <t>Size bands: 8 bands sum to the unduplicated US firm total</t>
        </is>
      </c>
      <c r="B8" s="7">
        <f>'Size bands'!B13</f>
        <v/>
      </c>
      <c r="C8" s="7" t="n">
        <v>6395635</v>
      </c>
      <c r="D8" s="6">
        <f>IF(B8=C8,"YES","NO")</f>
        <v/>
      </c>
    </row>
    <row r="9">
      <c r="A9" s="25" t="inlineStr">
        <is>
          <t>DBIR Table 3: mapped industry rows (DBIR benchmark sheet total) + the 5,361 'Unknown' row sum to the published 31,861</t>
        </is>
      </c>
      <c r="B9" s="7">
        <f>'DBIR benchmark'!C18+5361</f>
        <v/>
      </c>
      <c r="C9" s="7" t="n">
        <v>31861</v>
      </c>
      <c r="D9" s="6">
        <f>IF(B9=C9,"YES","NO")</f>
        <v/>
      </c>
    </row>
    <row r="10">
      <c r="A10" s="25" t="inlineStr">
        <is>
          <t>Severity: HHS ransomware subset is a strict subset of all HHS rows (1,246 of 7,925)</t>
        </is>
      </c>
      <c r="B10" s="7" t="n">
        <v>1246</v>
      </c>
      <c r="C10" s="7" t="n">
        <v>7925</v>
      </c>
      <c r="D10" s="6">
        <f>IF(B10&lt;C10,"YES","NO")</f>
        <v/>
      </c>
    </row>
    <row r="12">
      <c r="A12" s="2" t="inlineStr">
        <is>
          <t>The third row is the one that trips people: sector firm counts legitimately sum to MORE than the US total, because a multi-sector firm is counted in every sector it operates in. Asserting sum &lt;= total was a bug we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2026-10-08T08:18:52Z</dcterms:created>
  <dcterms:modified xmlns:dcterms="http://purl.org/dc/terms/" xmlns:xsi="http://www.w3.org/2001/XMLSchema-instance" xsi:type="dcterms:W3CDTF">2026-10-08T08:18:52Z</dcterms:modified>
</cp:coreProperties>
</file>